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aproin2-my.sharepoint.com/personal/ven444_caproin2_onmicrosoft_com/Documents/Escritorio/JUAN L CAPROIN/INFORMES DE VENTAS/DASHBOARD VENTAS/DASHBOARD VENTAS/"/>
    </mc:Choice>
  </mc:AlternateContent>
  <xr:revisionPtr revIDLastSave="56" documentId="8_{278B5C1C-137B-4CB3-B50E-AB130927152D}" xr6:coauthVersionLast="47" xr6:coauthVersionMax="47" xr10:uidLastSave="{14DBDEFD-C58D-4EEB-8CDD-659232E2DD07}"/>
  <bookViews>
    <workbookView xWindow="28680" yWindow="-120" windowWidth="29040" windowHeight="15720" activeTab="1" xr2:uid="{5AA1F675-2C35-4766-A73E-DC8E33A8ABF3}"/>
  </bookViews>
  <sheets>
    <sheet name="Hoja1" sheetId="2" r:id="rId1"/>
    <sheet name="PEDIDOS FOB CONSOLIDADO" sheetId="1" r:id="rId2"/>
  </sheets>
  <externalReferences>
    <externalReference r:id="rId3"/>
  </externalReferences>
  <definedNames>
    <definedName name="ASOCIADO">[1]!Tabla5[[#All],[ASOCIADO]]</definedName>
    <definedName name="CASA">[1]!Tabla6[[#All],[CASA]]</definedName>
    <definedName name="VENDEDOR">[1]!Tabla3[[#All],[VENDEDOR]]</definedName>
    <definedName name="ZONA">[1]!Tabla2[[#All],[ZONA]]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<sst xmlns="http://schemas.openxmlformats.org/spreadsheetml/2006/main" count="198" uniqueCount="104">
  <si>
    <t xml:space="preserve"> </t>
  </si>
  <si>
    <t>ZONA</t>
  </si>
  <si>
    <t>MES</t>
  </si>
  <si>
    <t>AÑO</t>
  </si>
  <si>
    <t>CAP#</t>
  </si>
  <si>
    <t>VENDEDOR</t>
  </si>
  <si>
    <t>ASOCIADO</t>
  </si>
  <si>
    <t>CASA</t>
  </si>
  <si>
    <t>USUARIO FINAL</t>
  </si>
  <si>
    <t>COMPRADOR</t>
  </si>
  <si>
    <t>PEDIDO
CLIENTE</t>
  </si>
  <si>
    <t>COTIZACIÓN #</t>
  </si>
  <si>
    <t>PEDIDO
 CASA</t>
  </si>
  <si>
    <t>DESCRIPCIÓN</t>
  </si>
  <si>
    <t>COMISION</t>
  </si>
  <si>
    <t>RLM</t>
  </si>
  <si>
    <t>RX</t>
  </si>
  <si>
    <t>LOT</t>
  </si>
  <si>
    <t>COC</t>
  </si>
  <si>
    <t>AR</t>
  </si>
  <si>
    <t>FGC</t>
  </si>
  <si>
    <t>EZ</t>
  </si>
  <si>
    <t>JMM</t>
  </si>
  <si>
    <t>MAYAGUEZ</t>
  </si>
  <si>
    <t>BIOCIRCULO S.A.S.</t>
  </si>
  <si>
    <t>HOLCIM COLOMBIA SA</t>
  </si>
  <si>
    <t>ANTIOQUIA GOLD</t>
  </si>
  <si>
    <t>CARTON DE COLOMBIA</t>
  </si>
  <si>
    <t>CARTONES AMERICA</t>
  </si>
  <si>
    <t>DVM</t>
  </si>
  <si>
    <t>REPLACEMENT SCM BLADE MRBCM000420001</t>
  </si>
  <si>
    <t>MINEROS ALUVIAL</t>
  </si>
  <si>
    <t>YARA COLOMBIA S.A</t>
  </si>
  <si>
    <t>CRISTAR TABLETOP SAS</t>
  </si>
  <si>
    <t>DAC</t>
  </si>
  <si>
    <t>INGENIO PICHICHI</t>
  </si>
  <si>
    <t>SUMICOL</t>
  </si>
  <si>
    <t>COLOMBINA S.A.</t>
  </si>
  <si>
    <t>BRINSA S.A.</t>
  </si>
  <si>
    <t>JK</t>
  </si>
  <si>
    <t>FOB2611994DACEZ</t>
  </si>
  <si>
    <t xml:space="preserve"> 
GRATE-P1 RE7HP 18X16.5 SS304
 NO-DEFLECTOR 201412729 GR1
</t>
  </si>
  <si>
    <t>OC-085481</t>
  </si>
  <si>
    <t xml:space="preserve">FOB2511451DVMEZ </t>
  </si>
  <si>
    <t xml:space="preserve"> 
KIT FLAPPER SPARE 6" X7 VLP
 3N-201707378-3-5-6</t>
  </si>
  <si>
    <t>FOB2611883COCRX</t>
  </si>
  <si>
    <t xml:space="preserve">
2964254
</t>
  </si>
  <si>
    <t>SHIM GASKET KIT</t>
  </si>
  <si>
    <t>FOB2511408COCJK</t>
  </si>
  <si>
    <t>CONJUNTO PARA ELEVADOR DE CANGILONES</t>
  </si>
  <si>
    <t xml:space="preserve">CARVAJAL PULPA Y PAPEL SA
</t>
  </si>
  <si>
    <t>CARVAJAL PULPA Y PAPEL SA</t>
  </si>
  <si>
    <t xml:space="preserve">4600017977
</t>
  </si>
  <si>
    <t>ORD184615</t>
  </si>
  <si>
    <t>FOB2612072COCRX</t>
  </si>
  <si>
    <t>BEVEL GEAR SET 4725249 12/49</t>
  </si>
  <si>
    <t>FOB2612184COCRX</t>
  </si>
  <si>
    <t>TREATED BUSHING P/N 435-00004-03, MATERIAL CAST IRON FOR 
PAN CONVEYOR WITH R2397 OUTBOARD ROLLER CHAIN
$102,00 $1.020,00</t>
  </si>
  <si>
    <t xml:space="preserve">
230021168</t>
  </si>
  <si>
    <t xml:space="preserve">FOB2611774DACEZ- </t>
  </si>
  <si>
    <t>Trampa Eriez SSB3-RE-7HP-250°F Magnetica</t>
  </si>
  <si>
    <t>ASSY SHIM-GASKET PTS AUNITS</t>
  </si>
  <si>
    <t xml:space="preserve">FOB2612XXXDACRX </t>
  </si>
  <si>
    <t>820-1L/1-MR S1 60MM S2 58MM
C99999-057</t>
  </si>
  <si>
    <t>SWEETSOL SUCURSAL COLOMBIA</t>
  </si>
  <si>
    <t>OCI-00000150</t>
  </si>
  <si>
    <t>FOB2612130DACEZ-R1</t>
  </si>
  <si>
    <t>1535258 TY</t>
  </si>
  <si>
    <t>ERIEZ XTREME METAL DETECTOR X8 TMD 350W X 200H INTEGRAL</t>
  </si>
  <si>
    <t xml:space="preserve">FOB2612187DACEZ </t>
  </si>
  <si>
    <t>1535354 TY</t>
  </si>
  <si>
    <t xml:space="preserve"> BELT RE60 .010 KEVLAR W/SS
 MECH CRIMP DOTS 4N-9950221</t>
  </si>
  <si>
    <t>OCAGD - 31848</t>
  </si>
  <si>
    <t>1531489 SD</t>
  </si>
  <si>
    <t>ELECTROIMÁN BANDA 100-CB-005</t>
  </si>
  <si>
    <t>FOB2622026JMMLO</t>
  </si>
  <si>
    <t>FOB2631809RLMRX</t>
  </si>
  <si>
    <t>FOB2631809RLMRXREV1</t>
  </si>
  <si>
    <t>FOB2632261RLMRX</t>
  </si>
  <si>
    <t>BACKSTOP PARA REDUCTOR FALK P/N:1940889
BACKSTOP PARA REDUCTOR FALK DE TRIPLE
REDUCCIÓN</t>
  </si>
  <si>
    <t>Cristaleria Peldar S.A.</t>
  </si>
  <si>
    <t>1533290 TY</t>
  </si>
  <si>
    <t>KEVLAR BAND RE-60.010</t>
  </si>
  <si>
    <t>FOB2641943DVMEZ BRINSA SA EXW - REPUESTOS ZARANDA</t>
  </si>
  <si>
    <t xml:space="preserve"> 1534135 TY</t>
  </si>
  <si>
    <t>BOLAS ANTI BLINDING ZARANDA NO 
1 HVS 36 X 84</t>
  </si>
  <si>
    <t>1535678 TY</t>
  </si>
  <si>
    <t>BELT RE60 0.010 KEVLAR W/SS. MECH CRIMP DOTS 3N-9930590. P/N 441503</t>
  </si>
  <si>
    <t>1535973 TY</t>
  </si>
  <si>
    <t>ESTADO</t>
  </si>
  <si>
    <t>PAGADA</t>
  </si>
  <si>
    <t>COMISION USD$</t>
  </si>
  <si>
    <t>CARLOS CORTES</t>
  </si>
  <si>
    <t>DIEGO CAMPO</t>
  </si>
  <si>
    <t>DANIELA VERGARA</t>
  </si>
  <si>
    <t>FREDDY GARCIA</t>
  </si>
  <si>
    <t>JUAN MANUEL MEJIA</t>
  </si>
  <si>
    <t>RAFAEL LOPEZ</t>
  </si>
  <si>
    <t>ENE</t>
  </si>
  <si>
    <t>FEB</t>
  </si>
  <si>
    <t>MAR</t>
  </si>
  <si>
    <t>ABR</t>
  </si>
  <si>
    <t>ENE-ABR 2026</t>
  </si>
  <si>
    <t>COMISION USD$ /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</si>
</sst>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-&quot;$&quot;\ * #,##0_-;\-&quot;$&quot;\ * #,##0_-;_-&quot;$&quot;\ * &quot;-&quot;_-;_-@_-"/>
    <numFmt numFmtId="43" formatCode="_-* #,##0.00_-;\-* #,##0.00_-;_-* &quot;-&quot;??_-;_-@_-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43" fontId="0" fillId="0" borderId="0" xfId="1" applyFont="1" applyAlignment="1">
      <alignment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2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43" fontId="0" fillId="0" borderId="0" xfId="1" applyFont="1" applyAlignment="1">
      <alignment vertical="top"/>
    </xf>
    <xf numFmtId="0" fontId="0" fillId="0" borderId="0" xfId="0" applyAlignment="1">
      <alignment horizontal="right" vertical="top" wrapText="1"/>
    </xf>
    <xf numFmtId="2" fontId="0" fillId="0" borderId="0" xfId="1" applyNumberFormat="1" applyFont="1" applyAlignment="1">
      <alignment vertical="top"/>
    </xf>
    <xf numFmtId="164" fontId="0" fillId="0" borderId="0" xfId="1" applyNumberFormat="1" applyFont="1" applyAlignment="1">
      <alignment vertical="top"/>
    </xf>
    <xf numFmtId="0" fontId="0" fillId="2" borderId="0" xfId="0" applyFill="1"/>
    <xf numFmtId="42" fontId="0" fillId="2" borderId="0" xfId="0" applyNumberFormat="1" applyFill="1" applyBorder="1"/>
    <xf numFmtId="0" fontId="0" fillId="2" borderId="2" xfId="0" applyFill="1" applyBorder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/>
    <xf numFmtId="0" fontId="0" fillId="2" borderId="1" xfId="0" applyFill="1" applyBorder="1" applyAlignment="1">
      <alignment horizontal="center" vertical="center"/>
    </xf>
    <xf numFmtId="42" fontId="0" fillId="2" borderId="5" xfId="0" applyNumberFormat="1" applyFill="1" applyBorder="1"/>
    <xf numFmtId="42" fontId="0" fillId="2" borderId="3" xfId="0" applyNumberFormat="1" applyFill="1" applyBorder="1"/>
    <xf numFmtId="42" fontId="0" fillId="2" borderId="1" xfId="0" applyNumberFormat="1" applyFill="1" applyBorder="1"/>
    <xf numFmtId="0" fontId="0" fillId="2" borderId="2" xfId="0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146">
    <dxf>
      <alignment horizontal="center"/>
    </dxf>
    <dxf>
      <alignment vertical="center"/>
    </dxf>
    <dxf>
      <alignment wrapText="1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2" formatCode="0.00"/>
      <alignment horizontal="general" vertical="top" textRotation="0" wrapText="0" indent="0" justifyLastLine="0" shrinkToFit="0" readingOrder="0"/>
    </dxf>
    <dxf>
      <numFmt numFmtId="2" formatCode="0.00"/>
      <alignment horizontal="general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right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9" formatCode="d/mm/yyyy"/>
      <alignment horizontal="general" vertical="top" textRotation="0" wrapText="0" indent="0" justifyLastLine="0" shrinkToFit="0" readingOrder="0"/>
    </dxf>
    <dxf>
      <numFmt numFmtId="19" formatCode="d/mm/yyyy"/>
      <alignment horizontal="general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auto="1"/>
      </font>
      <fill>
        <patternFill>
          <bgColor rgb="FFFFF7F7"/>
        </patternFill>
      </fill>
    </dxf>
    <dxf>
      <font>
        <color theme="0"/>
      </font>
      <fill>
        <patternFill>
          <bgColor rgb="FFC00000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hair">
          <color auto="1"/>
        </vertical>
        <horizontal style="hair">
          <color auto="1"/>
        </horizontal>
      </border>
    </dxf>
  </dxfs>
  <tableStyles count="1" defaultTableStyle="TableStyleMedium2" defaultPivotStyle="PivotStyleLight16">
    <tableStyle name="Estilo de tabla 1" pivot="0" count="3" xr9:uid="{1930C8A2-8F32-4A5F-AE65-122D28FBBA42}">
      <tableStyleElement type="wholeTable" dxfId="145"/>
      <tableStyleElement type="headerRow" dxfId="144"/>
      <tableStyleElement type="firstRowStripe" dxfId="14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0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4D7E0AB-0CB4-4D9C-BD20-4CB99958F957}"/>
            </a:ext>
          </a:extLst>
        </xdr:cNvPr>
        <xdr:cNvSpPr txBox="1"/>
      </xdr:nvSpPr>
      <xdr:spPr>
        <a:xfrm>
          <a:off x="21354097" y="548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Pedidos%20FOB%2028052026.xlsx" TargetMode="External"/><Relationship Id="rId2" Type="http://schemas.openxmlformats.org/officeDocument/2006/relationships/externalLinkPath" Target="https://caproin2-my.sharepoint.com/personal/ven444_caproin2_onmicrosoft_com/Documents/Escritorio/Pedidos%20FOB%2028052026.xlsx" TargetMode="External"/><Relationship Id="rId1" Type="http://schemas.openxmlformats.org/officeDocument/2006/relationships/externalLinkPath" Target="/personal/ven444_caproin2_onmicrosoft_com/Documents/Escritorio/Pedidos%20FOB%2028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DIDOS FOB CONSOLIDADO"/>
      <sheetName val="Hoja2"/>
      <sheetName val="Hoja1"/>
      <sheetName val="DATOS"/>
      <sheetName val="Comisiones x Ing X Año"/>
      <sheetName val="LISTADO DE CLIENTES"/>
      <sheetName val="Graficos"/>
      <sheetName val="Comisiones x Ing x Casa x año"/>
      <sheetName val="COMISIONES POR AÑO"/>
      <sheetName val="Ventas X Cliente X Vendedor"/>
      <sheetName val="Ventas por cliente"/>
      <sheetName val="COMISIONES ING X AÑO"/>
      <sheetName val="Hoja3"/>
      <sheetName val="Pedidos FOB 2805202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Pablo Loaiza Rodriguez" refreshedDate="46170.689447337965" createdVersion="8" refreshedVersion="8" minRefreshableVersion="3" recordCount="26" xr:uid="{7FD19264-38E3-4C0B-831D-32E3336A6EAF}">
  <cacheSource type="worksheet">
    <worksheetSource ref="A1:P1048576" sheet="PEDIDOS FOB CONSOLIDADO"/>
  </cacheSource>
  <cacheFields count="16">
    <cacheField name=" " numFmtId="14">
      <sharedItems containsNonDate="0" containsDate="1" containsString="0" containsBlank="1" minDate="2026-01-04T00:00:00" maxDate="2026-05-23T00:00:00"/>
    </cacheField>
    <cacheField name="ZONA" numFmtId="0">
      <sharedItems containsString="0" containsBlank="1" containsNumber="1" containsInteger="1" minValue="1" maxValue="4"/>
    </cacheField>
    <cacheField name="MES" numFmtId="0">
      <sharedItems containsString="0" containsBlank="1" containsNumber="1" containsInteger="1" minValue="1" maxValue="5" count="6">
        <n v="3"/>
        <n v="1"/>
        <n v="4"/>
        <n v="5"/>
        <n v="2"/>
        <m/>
      </sharedItems>
    </cacheField>
    <cacheField name="AÑO" numFmtId="0">
      <sharedItems containsString="0" containsBlank="1" containsNumber="1" containsInteger="1" minValue="2026" maxValue="2026"/>
    </cacheField>
    <cacheField name="CAP#" numFmtId="0">
      <sharedItems containsString="0" containsBlank="1" containsNumber="1" containsInteger="1" minValue="126002" maxValue="426006"/>
    </cacheField>
    <cacheField name="VENDEDOR" numFmtId="0">
      <sharedItems containsBlank="1" count="7">
        <s v="DAC"/>
        <s v="DVM"/>
        <s v="COC"/>
        <s v="JMM"/>
        <s v="RLM"/>
        <s v="FGC"/>
        <m/>
      </sharedItems>
    </cacheField>
    <cacheField name="ASOCIADO" numFmtId="0">
      <sharedItems containsBlank="1"/>
    </cacheField>
    <cacheField name="CASA" numFmtId="0">
      <sharedItems containsBlank="1"/>
    </cacheField>
    <cacheField name="USUARIO FINAL" numFmtId="0">
      <sharedItems containsBlank="1"/>
    </cacheField>
    <cacheField name="COMPRADOR" numFmtId="0">
      <sharedItems containsBlank="1"/>
    </cacheField>
    <cacheField name="PEDIDO_x000a_CLIENTE" numFmtId="0">
      <sharedItems containsBlank="1" containsMixedTypes="1" containsNumber="1" containsInteger="1" minValue="45074018" maxValue="5500013962"/>
    </cacheField>
    <cacheField name="COTIZACIÓN #" numFmtId="0">
      <sharedItems containsBlank="1" containsMixedTypes="1" containsNumber="1" containsInteger="1" minValue="6100653418" maxValue="6100653418"/>
    </cacheField>
    <cacheField name="PEDIDO_x000a_ CASA" numFmtId="0">
      <sharedItems containsBlank="1" containsMixedTypes="1" containsNumber="1" containsInteger="1" minValue="31766" maxValue="3005296"/>
    </cacheField>
    <cacheField name="DESCRIPCIÓN" numFmtId="0">
      <sharedItems containsBlank="1"/>
    </cacheField>
    <cacheField name="COMISION" numFmtId="0">
      <sharedItems containsString="0" containsBlank="1" containsNumber="1" minValue="66.400000000000006" maxValue="5600"/>
    </cacheField>
    <cacheField name="ESTADO" numFmtId="0">
      <sharedItems containsBlank="1" count="2">
        <s v="PAGAD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d v="2026-03-12T00:00:00"/>
    <n v="1"/>
    <x v="0"/>
    <n v="2026"/>
    <n v="126004"/>
    <x v="0"/>
    <s v="EZ"/>
    <s v="EZ"/>
    <s v="INGENIO PICHICHI"/>
    <s v="INGENIO PICHICHI"/>
    <n v="3200001330"/>
    <s v="FOB2611994DACEZ"/>
    <n v="1532462"/>
    <s v=" _x000a_GRATE-P1 RE7HP 18X16.5 SS304_x000a_ NO-DEFLECTOR 201412729 GR1_x000a_"/>
    <n v="734.4"/>
    <x v="0"/>
  </r>
  <r>
    <d v="2026-03-04T00:00:00"/>
    <n v="4"/>
    <x v="0"/>
    <n v="2026"/>
    <n v="426001"/>
    <x v="1"/>
    <s v="EZ"/>
    <s v="EZ"/>
    <s v="BIOCIRCULO S.A.S."/>
    <s v="BIOCIRCULO S.A.S."/>
    <s v="OC-085481"/>
    <s v="FOB2511451DVMEZ "/>
    <n v="1532037"/>
    <s v=" _x000a_KIT FLAPPER SPARE 6&quot; X7 VLP_x000a_ 3N-201707378-3-5-6"/>
    <n v="66.400000000000006"/>
    <x v="0"/>
  </r>
  <r>
    <d v="2026-03-16T00:00:00"/>
    <n v="1"/>
    <x v="0"/>
    <n v="2026"/>
    <n v="126008"/>
    <x v="2"/>
    <s v="LOT"/>
    <s v="RX"/>
    <s v="CARTON DE COLOMBIA"/>
    <s v="CARTON DE COLOMBIA"/>
    <n v="45074018"/>
    <s v="FOB2611883COCRX"/>
    <s v="_x000a_2964254_x000a__x000a_"/>
    <s v="SHIM GASKET KIT"/>
    <n v="120.66"/>
    <x v="1"/>
  </r>
  <r>
    <d v="2026-03-25T00:00:00"/>
    <n v="1"/>
    <x v="0"/>
    <n v="2026"/>
    <n v="126009"/>
    <x v="2"/>
    <s v="JK"/>
    <s v="JK"/>
    <s v="MAYAGUEZ"/>
    <s v="MAYAGUEZ"/>
    <n v="3200004867"/>
    <s v="FOB2511408COCJK"/>
    <m/>
    <s v="CONJUNTO PARA ELEVADOR DE CANGILONES"/>
    <n v="672.41100000000006"/>
    <x v="1"/>
  </r>
  <r>
    <d v="2026-01-04T00:00:00"/>
    <n v="1"/>
    <x v="1"/>
    <n v="2026"/>
    <n v="126011"/>
    <x v="2"/>
    <s v="AR"/>
    <s v="AR"/>
    <s v="CARVAJAL PULPA Y PAPEL SA_x000a__x000a_"/>
    <s v="CARVAJAL PULPA Y PAPEL SA"/>
    <s v="4600017977_x000a_ _x000a_ _x000a_"/>
    <n v="6100653418"/>
    <s v="ORD184615"/>
    <s v="REPLACEMENT SCM BLADE MRBCM000420001"/>
    <n v="91.85"/>
    <x v="1"/>
  </r>
  <r>
    <d v="2026-04-15T00:00:00"/>
    <n v="1"/>
    <x v="2"/>
    <n v="2026"/>
    <n v="126015"/>
    <x v="2"/>
    <s v="LOT"/>
    <s v="RX"/>
    <s v="CARTON DE COLOMBIA"/>
    <s v="CARTON DE COLOMBIA"/>
    <n v="45074271"/>
    <s v="FOB2612072COCRX"/>
    <n v="2991911"/>
    <s v="BEVEL GEAR SET 4725249 12/49"/>
    <n v="2468.2199999999998"/>
    <x v="1"/>
  </r>
  <r>
    <d v="2026-05-19T00:00:00"/>
    <n v="1"/>
    <x v="3"/>
    <n v="2026"/>
    <n v="126016"/>
    <x v="2"/>
    <s v="LOT"/>
    <s v="RX"/>
    <s v="CARTON DE COLOMBIA"/>
    <s v="CARTON DE COLOMBIA"/>
    <n v="45074576"/>
    <s v="FOB2612184COCRX"/>
    <n v="3003060"/>
    <s v="TREATED BUSHING P/N 435-00004-03, MATERIAL CAST IRON FOR _x000a_PAN CONVEYOR WITH R2397 OUTBOARD ROLLER CHAIN_x000a_$102,00 $1.020,00"/>
    <n v="101.13"/>
    <x v="1"/>
  </r>
  <r>
    <d v="2026-02-02T00:00:00"/>
    <n v="1"/>
    <x v="4"/>
    <n v="2026"/>
    <n v="126002"/>
    <x v="0"/>
    <s v="EZ"/>
    <s v="EZ"/>
    <s v="COLOMBINA S.A."/>
    <s v="COLOMBINA S.A."/>
    <s v="_x000a_230021168"/>
    <s v="FOB2611774DACEZ- "/>
    <n v="31766"/>
    <s v="Trampa Eriez SSB3-RE-7HP-250°F Magnetica"/>
    <n v="1677.6"/>
    <x v="1"/>
  </r>
  <r>
    <d v="2026-03-27T00:00:00"/>
    <n v="1"/>
    <x v="0"/>
    <n v="2026"/>
    <n v="126010"/>
    <x v="0"/>
    <s v="LOT"/>
    <s v="RX"/>
    <s v="INGENIO PICHICHI"/>
    <s v="INGENIO PICHICHI"/>
    <n v="3200001348"/>
    <m/>
    <n v="2968338"/>
    <s v="ASSY SHIM-GASKET PTS AUNITS"/>
    <n v="244"/>
    <x v="1"/>
  </r>
  <r>
    <d v="2026-04-17T00:00:00"/>
    <n v="1"/>
    <x v="2"/>
    <n v="2026"/>
    <n v="126012"/>
    <x v="0"/>
    <s v="LOT"/>
    <s v="RX"/>
    <s v="CARTONES AMERICA"/>
    <s v="CARTONES AMERICA"/>
    <n v="4700018178"/>
    <s v="FOB2612XXXDACRX "/>
    <n v="2946482"/>
    <s v="820-1L/1-MR S1 60MM S2 58MM_x000a_C99999-057"/>
    <n v="1841.89"/>
    <x v="1"/>
  </r>
  <r>
    <d v="2026-04-28T00:00:00"/>
    <n v="1"/>
    <x v="2"/>
    <n v="2026"/>
    <n v="126013"/>
    <x v="0"/>
    <s v="EZ"/>
    <s v="EZ"/>
    <s v="SWEETSOL SUCURSAL COLOMBIA"/>
    <s v="SWEETSOL SUCURSAL COLOMBIA"/>
    <s v="OCI-00000150"/>
    <s v="FOB2612130DACEZ-R1"/>
    <s v="1535258 TY"/>
    <s v="ERIEZ XTREME METAL DETECTOR X8 TMD 350W X 200H INTEGRAL"/>
    <n v="1630"/>
    <x v="1"/>
  </r>
  <r>
    <d v="2026-04-15T00:00:00"/>
    <n v="1"/>
    <x v="2"/>
    <n v="2026"/>
    <n v="126014"/>
    <x v="0"/>
    <s v="EZ"/>
    <s v="EZ"/>
    <s v="CRISTAR TABLETOP SAS"/>
    <s v="CRISTAR TABLETOP SAS"/>
    <n v="4590001360"/>
    <s v="FOB2612187DACEZ "/>
    <s v="1535354 TY"/>
    <s v=" BELT RE60 .010 KEVLAR W/SS_x000a_ MECH CRIMP DOTS 4N-9950221"/>
    <n v="316"/>
    <x v="1"/>
  </r>
  <r>
    <d v="2026-01-28T00:00:00"/>
    <n v="2"/>
    <x v="1"/>
    <n v="2026"/>
    <n v="226001"/>
    <x v="3"/>
    <s v="EZ"/>
    <s v="EZ"/>
    <s v="ANTIOQUIA GOLD"/>
    <s v="ANTIOQUIA GOLD"/>
    <s v="OCAGD - 31848"/>
    <m/>
    <s v="1531489 SD"/>
    <s v="ELECTROIMÁN BANDA 100-CB-005"/>
    <n v="5600"/>
    <x v="1"/>
  </r>
  <r>
    <d v="2026-04-24T00:00:00"/>
    <n v="2"/>
    <x v="2"/>
    <n v="2026"/>
    <n v="226002"/>
    <x v="3"/>
    <s v="LOT"/>
    <m/>
    <s v="MINEROS ALUVIAL"/>
    <s v="MINEROS ALUVIAL"/>
    <n v="5500013962"/>
    <s v="FOB2622026JMMLO"/>
    <m/>
    <m/>
    <m/>
    <x v="1"/>
  </r>
  <r>
    <d v="2026-01-19T00:00:00"/>
    <n v="3"/>
    <x v="1"/>
    <n v="2026"/>
    <n v="326001"/>
    <x v="4"/>
    <s v="LOT"/>
    <s v="RX"/>
    <s v="YARA COLOMBIA S.A"/>
    <s v="YARA COLOMBIA S.A"/>
    <n v="4200008168"/>
    <s v="FOB2631809RLMRX"/>
    <n v="2949590"/>
    <m/>
    <n v="2704.8799999999997"/>
    <x v="1"/>
  </r>
  <r>
    <d v="2026-03-11T00:00:00"/>
    <n v="3"/>
    <x v="0"/>
    <n v="2026"/>
    <n v="326002"/>
    <x v="4"/>
    <s v="LOT"/>
    <s v="RX"/>
    <s v="YARA COLOMBIA S.A"/>
    <s v="YARA COLOMBIA S.A"/>
    <n v="4200008476"/>
    <m/>
    <m/>
    <m/>
    <n v="1391.4933333333331"/>
    <x v="1"/>
  </r>
  <r>
    <d v="2026-03-13T00:00:00"/>
    <n v="3"/>
    <x v="0"/>
    <n v="2026"/>
    <n v="326003"/>
    <x v="4"/>
    <s v="LOT"/>
    <s v="RX"/>
    <s v="YARA COLOMBIA S.A"/>
    <s v="YARA COLOMBIA S.A"/>
    <n v="4200008490"/>
    <m/>
    <m/>
    <m/>
    <n v="972.13333333333321"/>
    <x v="1"/>
  </r>
  <r>
    <d v="2026-04-09T00:00:00"/>
    <n v="3"/>
    <x v="2"/>
    <n v="2026"/>
    <n v="326004"/>
    <x v="4"/>
    <s v="LOT"/>
    <s v="RX"/>
    <s v="YARA COLOMBIA S.A"/>
    <s v="YARA COLOMBIA S.A"/>
    <n v="4200008677"/>
    <s v="FOB2631809RLMRXREV1"/>
    <m/>
    <m/>
    <n v="1909.2066666666663"/>
    <x v="1"/>
  </r>
  <r>
    <d v="2026-05-22T00:00:00"/>
    <n v="3"/>
    <x v="3"/>
    <n v="2026"/>
    <n v="326005"/>
    <x v="4"/>
    <s v="LOT"/>
    <s v="RX"/>
    <s v="YARA COLOMBIA S.A"/>
    <s v="YARA COLOMBIA S.A"/>
    <n v="4200009124"/>
    <s v="FOB2632261RLMRX"/>
    <n v="3005296"/>
    <s v="BACKSTOP PARA REDUCTOR FALK P/N:1940889_x000a_BACKSTOP PARA REDUCTOR FALK DE TRIPLE_x000a_REDUCCIÓN"/>
    <n v="2897.3866666666668"/>
    <x v="1"/>
  </r>
  <r>
    <d v="2026-03-19T00:00:00"/>
    <n v="4"/>
    <x v="0"/>
    <n v="2026"/>
    <n v="426002"/>
    <x v="1"/>
    <s v="EZ"/>
    <s v="EZ"/>
    <s v="Cristaleria Peldar S.A."/>
    <s v="Cristaleria Peldar S.A."/>
    <n v="4590078383"/>
    <m/>
    <s v="1533290 TY"/>
    <s v="KEVLAR BAND RE-60.010"/>
    <n v="209.1"/>
    <x v="1"/>
  </r>
  <r>
    <d v="2026-03-19T00:00:00"/>
    <n v="4"/>
    <x v="0"/>
    <n v="2026"/>
    <n v="426003"/>
    <x v="5"/>
    <s v="JK"/>
    <s v="JK"/>
    <s v="HOLCIM COLOMBIA SA"/>
    <s v="HOLCIM COLOMBIA SA"/>
    <n v="4730004555"/>
    <m/>
    <m/>
    <m/>
    <m/>
    <x v="1"/>
  </r>
  <r>
    <d v="2026-03-31T00:00:00"/>
    <n v="4"/>
    <x v="0"/>
    <n v="2026"/>
    <n v="426004"/>
    <x v="1"/>
    <s v="EZ"/>
    <s v="EZ"/>
    <s v="BRINSA S.A."/>
    <s v="BRINSA S.A."/>
    <n v="4700000159"/>
    <s v="FOB2641943DVMEZ BRINSA SA EXW - REPUESTOS ZARANDA"/>
    <s v=" 1534135 TY"/>
    <s v="BOLAS ANTI BLINDING ZARANDA NO _x000a_1 HVS 36 X 84"/>
    <n v="1195.5"/>
    <x v="1"/>
  </r>
  <r>
    <d v="2026-05-05T00:00:00"/>
    <n v="4"/>
    <x v="3"/>
    <n v="2026"/>
    <n v="426005"/>
    <x v="1"/>
    <s v="EZ"/>
    <s v="EZ"/>
    <s v="Cristaleria Peldar S.A."/>
    <s v="Cristaleria Peldar S.A."/>
    <n v="4590079200"/>
    <m/>
    <s v="1535678 TY"/>
    <m/>
    <n v="69.7"/>
    <x v="1"/>
  </r>
  <r>
    <d v="2026-05-04T00:00:00"/>
    <n v="4"/>
    <x v="3"/>
    <n v="2026"/>
    <n v="426006"/>
    <x v="5"/>
    <s v="EZ"/>
    <s v="EZ"/>
    <s v="SUMICOL"/>
    <s v="SUMICOL"/>
    <n v="4600055880"/>
    <s v="BELT RE60 0.010 KEVLAR W/SS. MECH CRIMP DOTS 3N-9930590. P/N 441503"/>
    <s v="1535973 TY"/>
    <m/>
    <n v="198.3"/>
    <x v="1"/>
  </r>
  <r>
    <m/>
    <m/>
    <x v="5"/>
    <m/>
    <m/>
    <x v="6"/>
    <m/>
    <m/>
    <m/>
    <m/>
    <m/>
    <m/>
    <m/>
    <m/>
    <m/>
    <x v="1"/>
  </r>
  <r>
    <m/>
    <m/>
    <x v="5"/>
    <m/>
    <m/>
    <x v="6"/>
    <m/>
    <m/>
    <m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3B0A5-7943-4BBD-9022-FAE0075BE84A}" name="TablaDinámica1" cacheId="5" applyNumberFormats="0" applyBorderFormats="0" applyFontFormats="0" applyPatternFormats="0" applyAlignmentFormats="0" applyWidthHeightFormats="1" dataCaption="Valores" grandTotalCaption="ENE-ABR 2026" updatedVersion="8" minRefreshableVersion="3" useAutoFormatting="1" itemPrintTitles="1" createdVersion="8" indent="0" compact="0" compactData="0" multipleFieldFilters="0" rowHeaderCaption="VENDEDOR">
  <location ref="A3:F11" firstHeaderRow="1" firstDataRow="2" firstDataCol="1"/>
  <pivotFields count="16">
    <pivotField compact="0" outline="0" showAll="0"/>
    <pivotField compact="0" outline="0" showAll="0"/>
    <pivotField axis="axisCol" compact="0" outline="0" multipleItemSelectionAllowed="1" showAll="0">
      <items count="7">
        <item n="ENE" x="1"/>
        <item n="FEB" x="4"/>
        <item n="MAR" x="0"/>
        <item n="ABR" x="2"/>
        <item h="1" x="3"/>
        <item h="1" x="5"/>
        <item t="default"/>
      </items>
    </pivotField>
    <pivotField compact="0" outline="0" showAll="0"/>
    <pivotField compact="0" outline="0" showAll="0"/>
    <pivotField name="COMISION USD$ / VENDEDOR" axis="axisRow" compact="0" outline="0" showAll="0">
      <items count="8">
        <item n="CARLOS CORTES" x="2"/>
        <item n="DIEGO CAMPO" x="0"/>
        <item n="DANIELA VERGARA" x="1"/>
        <item n="FREDDY GARCIA" x="5"/>
        <item n="JUAN MANUEL MEJIA" x="3"/>
        <item n="RAFAEL LOPEZ" x="4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multipleItemSelectionAllowed="1" showAll="0">
      <items count="3">
        <item x="0"/>
        <item h="1"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MISION USD$" fld="14" baseField="5" baseItem="0" numFmtId="42"/>
  </dataFields>
  <formats count="26"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5" type="button" dataOnly="0" labelOnly="1" outline="0" axis="axisRow" fieldPosition="0"/>
    </format>
    <format dxfId="105">
      <pivotArea dataOnly="0" labelOnly="1" outline="0" fieldPosition="0">
        <references count="1">
          <reference field="5" count="6">
            <x v="0"/>
            <x v="1"/>
            <x v="2"/>
            <x v="3"/>
            <x v="4"/>
            <x v="5"/>
          </reference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65">
      <pivotArea dataOnly="0" labelOnly="1" outline="0" fieldPosition="0">
        <references count="1">
          <reference field="2" count="0"/>
        </references>
      </pivotArea>
    </format>
    <format dxfId="64">
      <pivotArea dataOnly="0" labelOnly="1" grandCol="1" outline="0" fieldPosition="0"/>
    </format>
    <format dxfId="63">
      <pivotArea dataOnly="0" labelOnly="1" outline="0" fieldPosition="0">
        <references count="1">
          <reference field="2" count="0"/>
        </references>
      </pivotArea>
    </format>
    <format dxfId="62">
      <pivotArea dataOnly="0" labelOnly="1" grandCol="1" outline="0" fieldPosition="0"/>
    </format>
    <format dxfId="61">
      <pivotArea field="5" type="button" dataOnly="0" labelOnly="1" outline="0" axis="axisRow" fieldPosition="0"/>
    </format>
    <format dxfId="60">
      <pivotArea dataOnly="0" labelOnly="1" outline="0" fieldPosition="0">
        <references count="1">
          <reference field="2" count="0"/>
        </references>
      </pivotArea>
    </format>
    <format dxfId="59">
      <pivotArea dataOnly="0" labelOnly="1" grandCol="1" outline="0" fieldPosition="0"/>
    </format>
    <format dxfId="58">
      <pivotArea outline="0" collapsedLevelsAreSubtotals="1" fieldPosition="0"/>
    </format>
    <format dxfId="57">
      <pivotArea field="5" type="button" dataOnly="0" labelOnly="1" outline="0" axis="axisRow" fieldPosition="0"/>
    </format>
    <format dxfId="56">
      <pivotArea dataOnly="0" labelOnly="1" outline="0" fieldPosition="0">
        <references count="1">
          <reference field="5" count="6">
            <x v="0"/>
            <x v="1"/>
            <x v="2"/>
            <x v="3"/>
            <x v="4"/>
            <x v="5"/>
          </reference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2" count="0"/>
        </references>
      </pivotArea>
    </format>
    <format dxfId="53">
      <pivotArea dataOnly="0" labelOnly="1" grandCol="1" outline="0" fieldPosition="0"/>
    </format>
    <format dxfId="52">
      <pivotArea grandCol="1" outline="0" collapsedLevelsAreSubtotals="1" fieldPosition="0"/>
    </format>
    <format dxfId="51">
      <pivotArea dataOnly="0" labelOnly="1" grandCol="1" outline="0" fieldPosition="0"/>
    </format>
    <format dxfId="50">
      <pivotArea grandRow="1" outline="0" collapsedLevelsAreSubtotals="1" fieldPosition="0"/>
    </format>
    <format dxfId="49">
      <pivotArea dataOnly="0" labelOnly="1" grandRow="1" outline="0" fieldPosition="0"/>
    </format>
    <format dxfId="2">
      <pivotArea field="5" type="button" dataOnly="0" labelOnly="1" outline="0" axis="axisRow" fieldPosition="0"/>
    </format>
    <format dxfId="1">
      <pivotArea field="5" type="button" dataOnly="0" labelOnly="1" outline="0" axis="axisRow" fieldPosition="0"/>
    </format>
    <format dxfId="0">
      <pivotArea field="5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BC76B-B990-4C43-82BA-0C4C2A3BFB7B}" name="Tabla1" displayName="Tabla1" ref="A1:P26" totalsRowCount="1" headerRowDxfId="142" dataDxfId="141">
  <autoFilter ref="A1:P25" xr:uid="{00000000-0009-0000-0100-000001000000}"/>
  <tableColumns count="16">
    <tableColumn id="1" xr3:uid="{B4ED09B8-0BA0-47DD-84A2-EBAEC3498019}" name=" " dataDxfId="140" totalsRowDxfId="139"/>
    <tableColumn id="2" xr3:uid="{F653D31F-B337-4753-BD3A-C38180F72308}" name="ZONA" dataDxfId="138" totalsRowDxfId="137"/>
    <tableColumn id="3" xr3:uid="{C1B7A03B-5ACC-4D8E-923F-908B5C1AB18E}" name="MES" dataDxfId="136" totalsRowDxfId="135">
      <calculatedColumnFormula>MONTH(Tabla1[[#This Row],[ ]])</calculatedColumnFormula>
    </tableColumn>
    <tableColumn id="4" xr3:uid="{8A44610C-011B-4368-9443-DF550589CD92}" name="AÑO" dataDxfId="134" totalsRowDxfId="133">
      <calculatedColumnFormula>YEAR(Tabla1[[#This Row],[ ]])</calculatedColumnFormula>
    </tableColumn>
    <tableColumn id="5" xr3:uid="{9ABF29EB-A629-4D47-A57F-1C3FA79FD475}" name="CAP#" dataDxfId="132" totalsRowDxfId="131"/>
    <tableColumn id="6" xr3:uid="{8C85EF26-C90B-42B0-AD66-C284C5A1EB05}" name="VENDEDOR" dataDxfId="130" totalsRowDxfId="129"/>
    <tableColumn id="7" xr3:uid="{B093A176-3569-4BF9-BC31-D5CD8853D4B5}" name="ASOCIADO" dataDxfId="128" totalsRowDxfId="127"/>
    <tableColumn id="8" xr3:uid="{48E77523-8F8D-439D-9313-4BE923BA496D}" name="CASA" dataDxfId="126" totalsRowDxfId="125"/>
    <tableColumn id="9" xr3:uid="{0DB37A8D-9548-468E-A123-374CA7BD56EA}" name="USUARIO FINAL" dataDxfId="124" totalsRowDxfId="123"/>
    <tableColumn id="10" xr3:uid="{6445AD92-80F3-4755-BDEF-2A093FA7D035}" name="COMPRADOR" dataDxfId="122" totalsRowDxfId="121"/>
    <tableColumn id="11" xr3:uid="{B5AF3462-FB4D-4F73-BCBE-3BA7188CC222}" name="PEDIDO_x000a_CLIENTE" dataDxfId="120" totalsRowDxfId="119"/>
    <tableColumn id="12" xr3:uid="{30CEDD5B-B1BA-4AB5-BBEC-07D2E56EFD55}" name="COTIZACIÓN #" dataDxfId="118" totalsRowDxfId="117"/>
    <tableColumn id="13" xr3:uid="{961587E9-C09B-4F22-9D60-5BA32929279F}" name="PEDIDO_x000a_ CASA" dataDxfId="116" totalsRowDxfId="115"/>
    <tableColumn id="14" xr3:uid="{CA7C2238-3952-4B3A-AB97-4376EF80FB28}" name="DESCRIPCIÓN" dataDxfId="114" totalsRowDxfId="113"/>
    <tableColumn id="20" xr3:uid="{6E852845-E39E-45F0-8D25-BD89FD6A94EC}" name="COMISION" dataDxfId="112" totalsRowDxfId="111"/>
    <tableColumn id="29" xr3:uid="{956495BB-6A5E-4949-B434-B195002ECD7C}" name="ESTADO" dataDxfId="110" totalsRowDxfId="109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C2EA-3F78-4AED-816F-B2100919DD3C}">
  <dimension ref="A3:F11"/>
  <sheetViews>
    <sheetView workbookViewId="0">
      <selection activeCell="G8" sqref="G8"/>
    </sheetView>
  </sheetViews>
  <sheetFormatPr baseColWidth="10" defaultRowHeight="14.4" x14ac:dyDescent="0.3"/>
  <cols>
    <col min="1" max="1" width="19.44140625" customWidth="1"/>
    <col min="2" max="5" width="8.33203125" bestFit="1" customWidth="1"/>
    <col min="6" max="6" width="12.88671875" bestFit="1" customWidth="1"/>
  </cols>
  <sheetData>
    <row r="3" spans="1:6" ht="15" thickBot="1" x14ac:dyDescent="0.35">
      <c r="A3" s="20" t="s">
        <v>91</v>
      </c>
      <c r="B3" s="20" t="s">
        <v>2</v>
      </c>
      <c r="C3" s="20"/>
      <c r="D3" s="20"/>
      <c r="E3" s="20"/>
      <c r="F3" s="20"/>
    </row>
    <row r="4" spans="1:6" ht="29.4" thickBot="1" x14ac:dyDescent="0.35">
      <c r="A4" s="29" t="s">
        <v>103</v>
      </c>
      <c r="B4" s="23" t="s">
        <v>98</v>
      </c>
      <c r="C4" s="23" t="s">
        <v>99</v>
      </c>
      <c r="D4" s="23" t="s">
        <v>100</v>
      </c>
      <c r="E4" s="23" t="s">
        <v>101</v>
      </c>
      <c r="F4" s="25" t="s">
        <v>102</v>
      </c>
    </row>
    <row r="5" spans="1:6" x14ac:dyDescent="0.3">
      <c r="A5" s="24" t="s">
        <v>92</v>
      </c>
      <c r="B5" s="21">
        <v>91.85</v>
      </c>
      <c r="C5" s="21"/>
      <c r="D5" s="21">
        <v>793.07100000000003</v>
      </c>
      <c r="E5" s="21">
        <v>2468.2199999999998</v>
      </c>
      <c r="F5" s="26">
        <v>3353.1409999999996</v>
      </c>
    </row>
    <row r="6" spans="1:6" x14ac:dyDescent="0.3">
      <c r="A6" s="24" t="s">
        <v>93</v>
      </c>
      <c r="B6" s="21"/>
      <c r="C6" s="21">
        <v>1677.6</v>
      </c>
      <c r="D6" s="21">
        <v>978.4</v>
      </c>
      <c r="E6" s="21">
        <v>3787.8900000000003</v>
      </c>
      <c r="F6" s="26">
        <v>6443.89</v>
      </c>
    </row>
    <row r="7" spans="1:6" x14ac:dyDescent="0.3">
      <c r="A7" s="24" t="s">
        <v>94</v>
      </c>
      <c r="B7" s="21"/>
      <c r="C7" s="21"/>
      <c r="D7" s="21">
        <v>1471</v>
      </c>
      <c r="E7" s="21"/>
      <c r="F7" s="26">
        <v>1471</v>
      </c>
    </row>
    <row r="8" spans="1:6" x14ac:dyDescent="0.3">
      <c r="A8" s="24" t="s">
        <v>95</v>
      </c>
      <c r="B8" s="21"/>
      <c r="C8" s="21"/>
      <c r="D8" s="21"/>
      <c r="E8" s="21"/>
      <c r="F8" s="26"/>
    </row>
    <row r="9" spans="1:6" x14ac:dyDescent="0.3">
      <c r="A9" s="24" t="s">
        <v>96</v>
      </c>
      <c r="B9" s="21">
        <v>5600</v>
      </c>
      <c r="C9" s="21"/>
      <c r="D9" s="21"/>
      <c r="E9" s="21"/>
      <c r="F9" s="26">
        <v>5600</v>
      </c>
    </row>
    <row r="10" spans="1:6" ht="15" thickBot="1" x14ac:dyDescent="0.35">
      <c r="A10" s="24" t="s">
        <v>97</v>
      </c>
      <c r="B10" s="21">
        <v>2704.8799999999997</v>
      </c>
      <c r="C10" s="21"/>
      <c r="D10" s="21">
        <v>2363.6266666666661</v>
      </c>
      <c r="E10" s="21">
        <v>1909.2066666666663</v>
      </c>
      <c r="F10" s="26">
        <v>6977.7133333333322</v>
      </c>
    </row>
    <row r="11" spans="1:6" ht="15" thickBot="1" x14ac:dyDescent="0.35">
      <c r="A11" s="22" t="s">
        <v>102</v>
      </c>
      <c r="B11" s="27">
        <v>8396.73</v>
      </c>
      <c r="C11" s="27">
        <v>1677.6</v>
      </c>
      <c r="D11" s="27">
        <v>5606.0976666666666</v>
      </c>
      <c r="E11" s="27">
        <v>8165.3166666666666</v>
      </c>
      <c r="F11" s="28">
        <v>23845.744333333332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BC14-03B2-450F-8282-08DB48BA0F3B}">
  <sheetPr>
    <tabColor rgb="FFFFFF00"/>
  </sheetPr>
  <dimension ref="A1:P26"/>
  <sheetViews>
    <sheetView tabSelected="1" zoomScale="80" zoomScaleNormal="80" workbookViewId="0">
      <pane ySplit="1" topLeftCell="A2" activePane="bottomLeft" state="frozen"/>
      <selection pane="bottomLeft" activeCell="O2" sqref="O2:O3"/>
    </sheetView>
  </sheetViews>
  <sheetFormatPr baseColWidth="10" defaultColWidth="11.44140625" defaultRowHeight="14.4" x14ac:dyDescent="0.3"/>
  <cols>
    <col min="1" max="1" width="12.44140625" style="1" bestFit="1" customWidth="1"/>
    <col min="2" max="2" width="7" style="2" customWidth="1"/>
    <col min="3" max="3" width="9.44140625" style="2" bestFit="1" customWidth="1"/>
    <col min="4" max="4" width="7.44140625" style="2" customWidth="1"/>
    <col min="5" max="5" width="17.5546875" style="2" customWidth="1"/>
    <col min="6" max="6" width="9.44140625" style="2" customWidth="1"/>
    <col min="7" max="7" width="7.6640625" style="2" customWidth="1"/>
    <col min="8" max="8" width="10" style="2" customWidth="1"/>
    <col min="9" max="9" width="27.5546875" style="4" customWidth="1"/>
    <col min="10" max="10" width="29.33203125" style="5" customWidth="1"/>
    <col min="11" max="11" width="34.5546875" style="7" bestFit="1" customWidth="1"/>
    <col min="12" max="12" width="43.5546875" style="4" bestFit="1" customWidth="1"/>
    <col min="13" max="13" width="15.33203125" style="7" customWidth="1"/>
    <col min="14" max="14" width="47" style="5" customWidth="1"/>
    <col min="15" max="15" width="14.6640625" style="6" customWidth="1"/>
    <col min="16" max="16" width="15.109375" style="2" customWidth="1"/>
    <col min="17" max="16384" width="11.44140625" style="4"/>
  </cols>
  <sheetData>
    <row r="1" spans="1:16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5" t="s">
        <v>13</v>
      </c>
      <c r="O1" s="6" t="s">
        <v>14</v>
      </c>
      <c r="P1" s="2" t="s">
        <v>89</v>
      </c>
    </row>
    <row r="2" spans="1:16" ht="57.6" x14ac:dyDescent="0.3">
      <c r="A2" s="8">
        <v>46093</v>
      </c>
      <c r="B2" s="9">
        <v>1</v>
      </c>
      <c r="C2" s="9">
        <f>MONTH(Tabla1[[#This Row],[ ]])</f>
        <v>3</v>
      </c>
      <c r="D2" s="9">
        <f>YEAR(Tabla1[[#This Row],[ ]])</f>
        <v>2026</v>
      </c>
      <c r="E2" s="9">
        <v>126004</v>
      </c>
      <c r="F2" s="9" t="s">
        <v>34</v>
      </c>
      <c r="G2" s="9" t="s">
        <v>21</v>
      </c>
      <c r="H2" s="9" t="s">
        <v>21</v>
      </c>
      <c r="I2" s="10" t="s">
        <v>35</v>
      </c>
      <c r="J2" s="11" t="s">
        <v>35</v>
      </c>
      <c r="K2" s="17">
        <v>3200001330</v>
      </c>
      <c r="L2" s="10" t="s">
        <v>40</v>
      </c>
      <c r="M2" s="12">
        <v>1532462</v>
      </c>
      <c r="N2" s="15" t="s">
        <v>41</v>
      </c>
      <c r="O2" s="18">
        <v>734.4</v>
      </c>
      <c r="P2" s="9" t="s">
        <v>90</v>
      </c>
    </row>
    <row r="3" spans="1:16" ht="43.2" x14ac:dyDescent="0.3">
      <c r="A3" s="8">
        <v>46085</v>
      </c>
      <c r="B3" s="9">
        <v>4</v>
      </c>
      <c r="C3" s="9">
        <f>MONTH(Tabla1[[#This Row],[ ]])</f>
        <v>3</v>
      </c>
      <c r="D3" s="9">
        <f>YEAR(Tabla1[[#This Row],[ ]])</f>
        <v>2026</v>
      </c>
      <c r="E3" s="9">
        <v>426001</v>
      </c>
      <c r="F3" s="9" t="s">
        <v>29</v>
      </c>
      <c r="G3" s="9" t="s">
        <v>21</v>
      </c>
      <c r="H3" s="9" t="s">
        <v>21</v>
      </c>
      <c r="I3" s="10" t="s">
        <v>24</v>
      </c>
      <c r="J3" s="11" t="s">
        <v>24</v>
      </c>
      <c r="K3" s="17" t="s">
        <v>42</v>
      </c>
      <c r="L3" s="10" t="s">
        <v>43</v>
      </c>
      <c r="M3" s="12">
        <v>1532037</v>
      </c>
      <c r="N3" s="15" t="s">
        <v>44</v>
      </c>
      <c r="O3" s="18">
        <v>66.400000000000006</v>
      </c>
      <c r="P3" s="9" t="s">
        <v>90</v>
      </c>
    </row>
    <row r="4" spans="1:16" ht="57.6" x14ac:dyDescent="0.3">
      <c r="A4" s="8">
        <v>46097</v>
      </c>
      <c r="B4" s="9">
        <v>1</v>
      </c>
      <c r="C4" s="9">
        <f>MONTH(Tabla1[[#This Row],[ ]])</f>
        <v>3</v>
      </c>
      <c r="D4" s="9">
        <f>YEAR(Tabla1[[#This Row],[ ]])</f>
        <v>2026</v>
      </c>
      <c r="E4" s="9">
        <v>126008</v>
      </c>
      <c r="F4" s="9" t="s">
        <v>18</v>
      </c>
      <c r="G4" s="9" t="s">
        <v>17</v>
      </c>
      <c r="H4" s="9" t="s">
        <v>16</v>
      </c>
      <c r="I4" s="10" t="s">
        <v>27</v>
      </c>
      <c r="J4" s="10" t="s">
        <v>27</v>
      </c>
      <c r="K4" s="17">
        <v>45074018</v>
      </c>
      <c r="L4" s="10" t="s">
        <v>45</v>
      </c>
      <c r="M4" s="17" t="s">
        <v>46</v>
      </c>
      <c r="N4" s="15" t="s">
        <v>47</v>
      </c>
      <c r="O4" s="18">
        <v>120.66</v>
      </c>
      <c r="P4" s="9"/>
    </row>
    <row r="5" spans="1:16" x14ac:dyDescent="0.3">
      <c r="A5" s="8">
        <v>46106</v>
      </c>
      <c r="B5" s="9">
        <v>1</v>
      </c>
      <c r="C5" s="9">
        <f>MONTH(Tabla1[[#This Row],[ ]])</f>
        <v>3</v>
      </c>
      <c r="D5" s="9">
        <f>YEAR(Tabla1[[#This Row],[ ]])</f>
        <v>2026</v>
      </c>
      <c r="E5" s="9">
        <v>126009</v>
      </c>
      <c r="F5" s="9" t="s">
        <v>18</v>
      </c>
      <c r="G5" s="9" t="s">
        <v>39</v>
      </c>
      <c r="H5" s="9" t="s">
        <v>39</v>
      </c>
      <c r="I5" s="10" t="s">
        <v>23</v>
      </c>
      <c r="J5" s="10" t="s">
        <v>23</v>
      </c>
      <c r="K5" s="17">
        <v>3200004867</v>
      </c>
      <c r="L5" s="10" t="s">
        <v>48</v>
      </c>
      <c r="M5" s="12"/>
      <c r="N5" s="10" t="s">
        <v>49</v>
      </c>
      <c r="O5" s="18">
        <v>672.41100000000006</v>
      </c>
      <c r="P5" s="9"/>
    </row>
    <row r="6" spans="1:16" ht="43.2" x14ac:dyDescent="0.3">
      <c r="A6" s="8">
        <v>46026</v>
      </c>
      <c r="B6" s="9">
        <v>1</v>
      </c>
      <c r="C6" s="9">
        <f>MONTH(Tabla1[[#This Row],[ ]])</f>
        <v>1</v>
      </c>
      <c r="D6" s="9">
        <f>YEAR(Tabla1[[#This Row],[ ]])</f>
        <v>2026</v>
      </c>
      <c r="E6" s="9">
        <v>126011</v>
      </c>
      <c r="F6" s="9" t="s">
        <v>18</v>
      </c>
      <c r="G6" s="9" t="s">
        <v>19</v>
      </c>
      <c r="H6" s="9" t="s">
        <v>19</v>
      </c>
      <c r="I6" s="14" t="s">
        <v>50</v>
      </c>
      <c r="J6" s="11" t="s">
        <v>51</v>
      </c>
      <c r="K6" s="17" t="s">
        <v>52</v>
      </c>
      <c r="L6" s="10">
        <v>6100653418</v>
      </c>
      <c r="M6" s="12" t="s">
        <v>53</v>
      </c>
      <c r="N6" s="15" t="s">
        <v>30</v>
      </c>
      <c r="O6" s="18">
        <v>91.85</v>
      </c>
      <c r="P6" s="9"/>
    </row>
    <row r="7" spans="1:16" x14ac:dyDescent="0.3">
      <c r="A7" s="8">
        <v>46127</v>
      </c>
      <c r="B7" s="9">
        <v>1</v>
      </c>
      <c r="C7" s="9">
        <f>MONTH(Tabla1[[#This Row],[ ]])</f>
        <v>4</v>
      </c>
      <c r="D7" s="9">
        <f>YEAR(Tabla1[[#This Row],[ ]])</f>
        <v>2026</v>
      </c>
      <c r="E7" s="9">
        <v>126015</v>
      </c>
      <c r="F7" s="9" t="s">
        <v>18</v>
      </c>
      <c r="G7" s="9" t="s">
        <v>17</v>
      </c>
      <c r="H7" s="9" t="s">
        <v>16</v>
      </c>
      <c r="I7" s="10" t="s">
        <v>27</v>
      </c>
      <c r="J7" s="10" t="s">
        <v>27</v>
      </c>
      <c r="K7" s="17">
        <v>45074271</v>
      </c>
      <c r="L7" s="10" t="s">
        <v>54</v>
      </c>
      <c r="M7" s="12">
        <v>2991911</v>
      </c>
      <c r="N7" s="15" t="s">
        <v>55</v>
      </c>
      <c r="O7" s="18">
        <v>2468.2199999999998</v>
      </c>
      <c r="P7" s="9"/>
    </row>
    <row r="8" spans="1:16" ht="72" x14ac:dyDescent="0.3">
      <c r="A8" s="8">
        <v>46161</v>
      </c>
      <c r="B8" s="9">
        <v>1</v>
      </c>
      <c r="C8" s="9">
        <f>MONTH(Tabla1[[#This Row],[ ]])</f>
        <v>5</v>
      </c>
      <c r="D8" s="9">
        <f>YEAR(Tabla1[[#This Row],[ ]])</f>
        <v>2026</v>
      </c>
      <c r="E8" s="9">
        <v>126016</v>
      </c>
      <c r="F8" s="9" t="s">
        <v>18</v>
      </c>
      <c r="G8" s="9" t="s">
        <v>17</v>
      </c>
      <c r="H8" s="9" t="s">
        <v>16</v>
      </c>
      <c r="I8" s="10" t="s">
        <v>27</v>
      </c>
      <c r="J8" s="10" t="s">
        <v>27</v>
      </c>
      <c r="K8" s="17">
        <v>45074576</v>
      </c>
      <c r="L8" s="10" t="s">
        <v>56</v>
      </c>
      <c r="M8" s="12">
        <v>3003060</v>
      </c>
      <c r="N8" s="15" t="s">
        <v>57</v>
      </c>
      <c r="O8" s="10">
        <v>101.13</v>
      </c>
      <c r="P8" s="9"/>
    </row>
    <row r="9" spans="1:16" ht="28.8" x14ac:dyDescent="0.3">
      <c r="A9" s="8">
        <v>46055</v>
      </c>
      <c r="B9" s="9">
        <v>1</v>
      </c>
      <c r="C9" s="9">
        <f>MONTH(Tabla1[[#This Row],[ ]])</f>
        <v>2</v>
      </c>
      <c r="D9" s="9">
        <f>YEAR(Tabla1[[#This Row],[ ]])</f>
        <v>2026</v>
      </c>
      <c r="E9" s="9">
        <v>126002</v>
      </c>
      <c r="F9" s="9" t="s">
        <v>34</v>
      </c>
      <c r="G9" s="9" t="s">
        <v>21</v>
      </c>
      <c r="H9" s="9" t="s">
        <v>21</v>
      </c>
      <c r="I9" s="10" t="s">
        <v>37</v>
      </c>
      <c r="J9" s="10" t="s">
        <v>37</v>
      </c>
      <c r="K9" s="17" t="s">
        <v>58</v>
      </c>
      <c r="L9" s="10" t="s">
        <v>59</v>
      </c>
      <c r="M9" s="12">
        <v>31766</v>
      </c>
      <c r="N9" s="15" t="s">
        <v>60</v>
      </c>
      <c r="O9" s="18">
        <v>1677.6</v>
      </c>
      <c r="P9" s="9"/>
    </row>
    <row r="10" spans="1:16" ht="13.5" customHeight="1" x14ac:dyDescent="0.3">
      <c r="A10" s="8">
        <v>46108</v>
      </c>
      <c r="B10" s="9">
        <v>1</v>
      </c>
      <c r="C10" s="9">
        <f>MONTH(Tabla1[[#This Row],[ ]])</f>
        <v>3</v>
      </c>
      <c r="D10" s="9">
        <f>YEAR(Tabla1[[#This Row],[ ]])</f>
        <v>2026</v>
      </c>
      <c r="E10" s="9">
        <v>126010</v>
      </c>
      <c r="F10" s="9" t="s">
        <v>34</v>
      </c>
      <c r="G10" s="9" t="s">
        <v>17</v>
      </c>
      <c r="H10" s="9" t="s">
        <v>16</v>
      </c>
      <c r="I10" s="10" t="s">
        <v>35</v>
      </c>
      <c r="J10" s="10" t="s">
        <v>35</v>
      </c>
      <c r="K10" s="17">
        <v>3200001348</v>
      </c>
      <c r="L10" s="10"/>
      <c r="M10" s="12">
        <v>2968338</v>
      </c>
      <c r="N10" s="15" t="s">
        <v>61</v>
      </c>
      <c r="O10" s="18">
        <v>244</v>
      </c>
      <c r="P10" s="9"/>
    </row>
    <row r="11" spans="1:16" ht="28.8" x14ac:dyDescent="0.3">
      <c r="A11" s="8">
        <v>46129</v>
      </c>
      <c r="B11" s="9">
        <v>1</v>
      </c>
      <c r="C11" s="9">
        <f>MONTH(Tabla1[[#This Row],[ ]])</f>
        <v>4</v>
      </c>
      <c r="D11" s="9">
        <f>YEAR(Tabla1[[#This Row],[ ]])</f>
        <v>2026</v>
      </c>
      <c r="E11" s="9">
        <v>126012</v>
      </c>
      <c r="F11" s="9" t="s">
        <v>34</v>
      </c>
      <c r="G11" s="9" t="s">
        <v>17</v>
      </c>
      <c r="H11" s="9" t="s">
        <v>16</v>
      </c>
      <c r="I11" s="10" t="s">
        <v>28</v>
      </c>
      <c r="J11" s="10" t="s">
        <v>28</v>
      </c>
      <c r="K11" s="17">
        <v>4700018178</v>
      </c>
      <c r="L11" s="10" t="s">
        <v>62</v>
      </c>
      <c r="M11" s="12">
        <v>2946482</v>
      </c>
      <c r="N11" s="15" t="s">
        <v>63</v>
      </c>
      <c r="O11" s="16">
        <v>1841.89</v>
      </c>
      <c r="P11" s="9"/>
    </row>
    <row r="12" spans="1:16" ht="28.8" x14ac:dyDescent="0.3">
      <c r="A12" s="8">
        <v>46140</v>
      </c>
      <c r="B12" s="9">
        <v>1</v>
      </c>
      <c r="C12" s="9">
        <f>MONTH(Tabla1[[#This Row],[ ]])</f>
        <v>4</v>
      </c>
      <c r="D12" s="9">
        <f>YEAR(Tabla1[[#This Row],[ ]])</f>
        <v>2026</v>
      </c>
      <c r="E12" s="9">
        <v>126013</v>
      </c>
      <c r="F12" s="9" t="s">
        <v>34</v>
      </c>
      <c r="G12" s="9" t="s">
        <v>21</v>
      </c>
      <c r="H12" s="9" t="s">
        <v>21</v>
      </c>
      <c r="I12" s="10" t="s">
        <v>64</v>
      </c>
      <c r="J12" s="11" t="s">
        <v>64</v>
      </c>
      <c r="K12" s="17" t="s">
        <v>65</v>
      </c>
      <c r="L12" s="10" t="s">
        <v>66</v>
      </c>
      <c r="M12" s="12" t="s">
        <v>67</v>
      </c>
      <c r="N12" s="15" t="s">
        <v>68</v>
      </c>
      <c r="O12" s="18">
        <v>1630</v>
      </c>
      <c r="P12" s="9"/>
    </row>
    <row r="13" spans="1:16" ht="28.8" x14ac:dyDescent="0.3">
      <c r="A13" s="8">
        <v>46127</v>
      </c>
      <c r="B13" s="9">
        <v>1</v>
      </c>
      <c r="C13" s="9">
        <f>MONTH(Tabla1[[#This Row],[ ]])</f>
        <v>4</v>
      </c>
      <c r="D13" s="9">
        <f>YEAR(Tabla1[[#This Row],[ ]])</f>
        <v>2026</v>
      </c>
      <c r="E13" s="9">
        <v>126014</v>
      </c>
      <c r="F13" s="9" t="s">
        <v>34</v>
      </c>
      <c r="G13" s="9" t="s">
        <v>21</v>
      </c>
      <c r="H13" s="9" t="s">
        <v>21</v>
      </c>
      <c r="I13" s="10" t="s">
        <v>33</v>
      </c>
      <c r="J13" s="10" t="s">
        <v>33</v>
      </c>
      <c r="K13" s="17">
        <v>4590001360</v>
      </c>
      <c r="L13" s="10" t="s">
        <v>69</v>
      </c>
      <c r="M13" s="12" t="s">
        <v>70</v>
      </c>
      <c r="N13" s="15" t="s">
        <v>71</v>
      </c>
      <c r="O13" s="18">
        <v>316</v>
      </c>
      <c r="P13" s="9"/>
    </row>
    <row r="14" spans="1:16" x14ac:dyDescent="0.3">
      <c r="A14" s="8">
        <v>46050</v>
      </c>
      <c r="B14" s="9">
        <v>2</v>
      </c>
      <c r="C14" s="9">
        <f>MONTH(Tabla1[[#This Row],[ ]])</f>
        <v>1</v>
      </c>
      <c r="D14" s="9">
        <f>YEAR(Tabla1[[#This Row],[ ]])</f>
        <v>2026</v>
      </c>
      <c r="E14" s="9">
        <v>226001</v>
      </c>
      <c r="F14" s="9" t="s">
        <v>22</v>
      </c>
      <c r="G14" s="9" t="s">
        <v>21</v>
      </c>
      <c r="H14" s="9" t="s">
        <v>21</v>
      </c>
      <c r="I14" s="10" t="s">
        <v>26</v>
      </c>
      <c r="J14" s="10" t="s">
        <v>26</v>
      </c>
      <c r="K14" s="17" t="s">
        <v>72</v>
      </c>
      <c r="L14" s="10"/>
      <c r="M14" s="12" t="s">
        <v>73</v>
      </c>
      <c r="N14" s="15" t="s">
        <v>74</v>
      </c>
      <c r="O14" s="18">
        <v>5600</v>
      </c>
      <c r="P14" s="9"/>
    </row>
    <row r="15" spans="1:16" x14ac:dyDescent="0.3">
      <c r="A15" s="8">
        <v>46136</v>
      </c>
      <c r="B15" s="9">
        <v>2</v>
      </c>
      <c r="C15" s="9">
        <f>MONTH(Tabla1[[#This Row],[ ]])</f>
        <v>4</v>
      </c>
      <c r="D15" s="9">
        <f>YEAR(Tabla1[[#This Row],[ ]])</f>
        <v>2026</v>
      </c>
      <c r="E15" s="9">
        <v>226002</v>
      </c>
      <c r="F15" s="9" t="s">
        <v>22</v>
      </c>
      <c r="G15" s="9" t="s">
        <v>17</v>
      </c>
      <c r="H15" s="9"/>
      <c r="I15" s="10" t="s">
        <v>31</v>
      </c>
      <c r="J15" s="10" t="s">
        <v>31</v>
      </c>
      <c r="K15" s="17">
        <v>5500013962</v>
      </c>
      <c r="L15" s="10" t="s">
        <v>75</v>
      </c>
      <c r="M15" s="12"/>
      <c r="N15" s="15"/>
      <c r="O15" s="18"/>
      <c r="P15" s="9"/>
    </row>
    <row r="16" spans="1:16" x14ac:dyDescent="0.3">
      <c r="A16" s="8">
        <v>46041</v>
      </c>
      <c r="B16" s="9">
        <v>3</v>
      </c>
      <c r="C16" s="9">
        <f>MONTH(Tabla1[[#This Row],[ ]])</f>
        <v>1</v>
      </c>
      <c r="D16" s="9">
        <f>YEAR(Tabla1[[#This Row],[ ]])</f>
        <v>2026</v>
      </c>
      <c r="E16" s="9">
        <v>326001</v>
      </c>
      <c r="F16" s="9" t="s">
        <v>15</v>
      </c>
      <c r="G16" s="9" t="s">
        <v>17</v>
      </c>
      <c r="H16" s="9" t="s">
        <v>16</v>
      </c>
      <c r="I16" s="11" t="s">
        <v>32</v>
      </c>
      <c r="J16" s="11" t="s">
        <v>32</v>
      </c>
      <c r="K16" s="17">
        <v>4200008168</v>
      </c>
      <c r="L16" s="10" t="s">
        <v>76</v>
      </c>
      <c r="M16" s="12">
        <v>2949590</v>
      </c>
      <c r="N16" s="15"/>
      <c r="O16" s="19">
        <v>2704.8799999999997</v>
      </c>
      <c r="P16" s="9"/>
    </row>
    <row r="17" spans="1:16" x14ac:dyDescent="0.3">
      <c r="A17" s="8">
        <v>46092</v>
      </c>
      <c r="B17" s="9">
        <v>3</v>
      </c>
      <c r="C17" s="9">
        <f>MONTH(Tabla1[[#This Row],[ ]])</f>
        <v>3</v>
      </c>
      <c r="D17" s="9">
        <f>YEAR(Tabla1[[#This Row],[ ]])</f>
        <v>2026</v>
      </c>
      <c r="E17" s="9">
        <v>326002</v>
      </c>
      <c r="F17" s="9" t="s">
        <v>15</v>
      </c>
      <c r="G17" s="9" t="s">
        <v>17</v>
      </c>
      <c r="H17" s="9" t="s">
        <v>16</v>
      </c>
      <c r="I17" s="11" t="s">
        <v>32</v>
      </c>
      <c r="J17" s="11" t="s">
        <v>32</v>
      </c>
      <c r="K17" s="17">
        <v>4200008476</v>
      </c>
      <c r="L17" s="10"/>
      <c r="M17" s="12"/>
      <c r="N17" s="15"/>
      <c r="O17" s="19">
        <v>1391.4933333333331</v>
      </c>
      <c r="P17" s="9"/>
    </row>
    <row r="18" spans="1:16" x14ac:dyDescent="0.3">
      <c r="A18" s="8">
        <v>46094</v>
      </c>
      <c r="B18" s="9">
        <v>3</v>
      </c>
      <c r="C18" s="9">
        <f>MONTH(Tabla1[[#This Row],[ ]])</f>
        <v>3</v>
      </c>
      <c r="D18" s="9">
        <f>YEAR(Tabla1[[#This Row],[ ]])</f>
        <v>2026</v>
      </c>
      <c r="E18" s="9">
        <v>326003</v>
      </c>
      <c r="F18" s="9" t="s">
        <v>15</v>
      </c>
      <c r="G18" s="9" t="s">
        <v>17</v>
      </c>
      <c r="H18" s="9" t="s">
        <v>16</v>
      </c>
      <c r="I18" s="11" t="s">
        <v>32</v>
      </c>
      <c r="J18" s="11" t="s">
        <v>32</v>
      </c>
      <c r="K18" s="17">
        <v>4200008490</v>
      </c>
      <c r="L18" s="10"/>
      <c r="M18" s="12"/>
      <c r="N18" s="15"/>
      <c r="O18" s="19">
        <v>972.13333333333321</v>
      </c>
      <c r="P18" s="9"/>
    </row>
    <row r="19" spans="1:16" x14ac:dyDescent="0.3">
      <c r="A19" s="8">
        <v>46121</v>
      </c>
      <c r="B19" s="9">
        <v>3</v>
      </c>
      <c r="C19" s="9">
        <f>MONTH(Tabla1[[#This Row],[ ]])</f>
        <v>4</v>
      </c>
      <c r="D19" s="9">
        <f>YEAR(Tabla1[[#This Row],[ ]])</f>
        <v>2026</v>
      </c>
      <c r="E19" s="9">
        <v>326004</v>
      </c>
      <c r="F19" s="9" t="s">
        <v>15</v>
      </c>
      <c r="G19" s="9" t="s">
        <v>17</v>
      </c>
      <c r="H19" s="9" t="s">
        <v>16</v>
      </c>
      <c r="I19" s="11" t="s">
        <v>32</v>
      </c>
      <c r="J19" s="11" t="s">
        <v>32</v>
      </c>
      <c r="K19" s="17">
        <v>4200008677</v>
      </c>
      <c r="L19" s="10" t="s">
        <v>77</v>
      </c>
      <c r="M19" s="12"/>
      <c r="N19" s="15"/>
      <c r="O19" s="19">
        <v>1909.2066666666663</v>
      </c>
      <c r="P19" s="9"/>
    </row>
    <row r="20" spans="1:16" ht="43.2" x14ac:dyDescent="0.3">
      <c r="A20" s="8">
        <v>46164</v>
      </c>
      <c r="B20" s="9">
        <v>3</v>
      </c>
      <c r="C20" s="9">
        <f>MONTH(Tabla1[[#This Row],[ ]])</f>
        <v>5</v>
      </c>
      <c r="D20" s="9">
        <f>YEAR(Tabla1[[#This Row],[ ]])</f>
        <v>2026</v>
      </c>
      <c r="E20" s="9">
        <v>326005</v>
      </c>
      <c r="F20" s="9" t="s">
        <v>15</v>
      </c>
      <c r="G20" s="9" t="s">
        <v>17</v>
      </c>
      <c r="H20" s="9" t="s">
        <v>16</v>
      </c>
      <c r="I20" s="11" t="s">
        <v>32</v>
      </c>
      <c r="J20" s="11" t="s">
        <v>32</v>
      </c>
      <c r="K20" s="17">
        <v>4200009124</v>
      </c>
      <c r="L20" s="10" t="s">
        <v>78</v>
      </c>
      <c r="M20" s="12">
        <v>3005296</v>
      </c>
      <c r="N20" s="15" t="s">
        <v>79</v>
      </c>
      <c r="O20" s="19">
        <v>2897.3866666666668</v>
      </c>
      <c r="P20" s="9"/>
    </row>
    <row r="21" spans="1:16" x14ac:dyDescent="0.3">
      <c r="A21" s="8">
        <v>46100</v>
      </c>
      <c r="B21" s="9">
        <v>4</v>
      </c>
      <c r="C21" s="9">
        <f>MONTH(Tabla1[[#This Row],[ ]])</f>
        <v>3</v>
      </c>
      <c r="D21" s="9">
        <f>YEAR(Tabla1[[#This Row],[ ]])</f>
        <v>2026</v>
      </c>
      <c r="E21" s="9">
        <v>426002</v>
      </c>
      <c r="F21" s="9" t="s">
        <v>29</v>
      </c>
      <c r="G21" s="9" t="s">
        <v>21</v>
      </c>
      <c r="H21" s="9" t="s">
        <v>21</v>
      </c>
      <c r="I21" s="10" t="s">
        <v>80</v>
      </c>
      <c r="J21" s="11" t="s">
        <v>80</v>
      </c>
      <c r="K21">
        <v>4590078383</v>
      </c>
      <c r="L21" s="10"/>
      <c r="M21" s="12" t="s">
        <v>81</v>
      </c>
      <c r="N21" s="15" t="s">
        <v>82</v>
      </c>
      <c r="O21" s="18">
        <v>209.1</v>
      </c>
      <c r="P21" s="9"/>
    </row>
    <row r="22" spans="1:16" x14ac:dyDescent="0.3">
      <c r="A22" s="8">
        <v>46100</v>
      </c>
      <c r="B22" s="9">
        <v>4</v>
      </c>
      <c r="C22" s="9">
        <f>MONTH(Tabla1[[#This Row],[ ]])</f>
        <v>3</v>
      </c>
      <c r="D22" s="9">
        <f>YEAR(Tabla1[[#This Row],[ ]])</f>
        <v>2026</v>
      </c>
      <c r="E22" s="9">
        <v>426003</v>
      </c>
      <c r="F22" s="9" t="s">
        <v>20</v>
      </c>
      <c r="G22" s="9" t="s">
        <v>39</v>
      </c>
      <c r="H22" s="9" t="s">
        <v>39</v>
      </c>
      <c r="I22" s="10" t="s">
        <v>25</v>
      </c>
      <c r="J22" s="10" t="s">
        <v>25</v>
      </c>
      <c r="K22" s="17">
        <v>4730004555</v>
      </c>
      <c r="L22" s="10"/>
      <c r="M22" s="12"/>
      <c r="N22" s="15"/>
      <c r="O22" s="18"/>
      <c r="P22" s="9"/>
    </row>
    <row r="23" spans="1:16" ht="28.8" x14ac:dyDescent="0.3">
      <c r="A23" s="8">
        <v>46112</v>
      </c>
      <c r="B23" s="9">
        <v>4</v>
      </c>
      <c r="C23" s="9">
        <f>MONTH(Tabla1[[#This Row],[ ]])</f>
        <v>3</v>
      </c>
      <c r="D23" s="9">
        <f>YEAR(Tabla1[[#This Row],[ ]])</f>
        <v>2026</v>
      </c>
      <c r="E23" s="9">
        <v>426004</v>
      </c>
      <c r="F23" s="9" t="s">
        <v>29</v>
      </c>
      <c r="G23" s="9" t="s">
        <v>21</v>
      </c>
      <c r="H23" s="9" t="s">
        <v>21</v>
      </c>
      <c r="I23" s="10" t="s">
        <v>38</v>
      </c>
      <c r="J23" s="10" t="s">
        <v>38</v>
      </c>
      <c r="K23">
        <v>4700000159</v>
      </c>
      <c r="L23" s="10" t="s">
        <v>83</v>
      </c>
      <c r="M23" s="12" t="s">
        <v>84</v>
      </c>
      <c r="N23" s="15" t="s">
        <v>85</v>
      </c>
      <c r="O23" s="18">
        <v>1195.5</v>
      </c>
      <c r="P23" s="9"/>
    </row>
    <row r="24" spans="1:16" x14ac:dyDescent="0.3">
      <c r="A24" s="8">
        <v>46147</v>
      </c>
      <c r="B24" s="9">
        <v>4</v>
      </c>
      <c r="C24" s="9">
        <f>MONTH(Tabla1[[#This Row],[ ]])</f>
        <v>5</v>
      </c>
      <c r="D24" s="9">
        <f>YEAR(Tabla1[[#This Row],[ ]])</f>
        <v>2026</v>
      </c>
      <c r="E24" s="9">
        <v>426005</v>
      </c>
      <c r="F24" s="9" t="s">
        <v>29</v>
      </c>
      <c r="G24" s="9" t="s">
        <v>21</v>
      </c>
      <c r="H24" s="9" t="s">
        <v>21</v>
      </c>
      <c r="I24" s="10" t="s">
        <v>80</v>
      </c>
      <c r="J24" s="10" t="s">
        <v>80</v>
      </c>
      <c r="K24" s="17">
        <v>4590079200</v>
      </c>
      <c r="L24" s="10"/>
      <c r="M24" s="12" t="s">
        <v>86</v>
      </c>
      <c r="N24" s="15"/>
      <c r="O24" s="18">
        <v>69.7</v>
      </c>
      <c r="P24" s="9"/>
    </row>
    <row r="25" spans="1:16" x14ac:dyDescent="0.3">
      <c r="A25" s="8">
        <v>46146</v>
      </c>
      <c r="B25" s="9">
        <v>4</v>
      </c>
      <c r="C25" s="9">
        <f>MONTH(Tabla1[[#This Row],[ ]])</f>
        <v>5</v>
      </c>
      <c r="D25" s="9">
        <f>YEAR(Tabla1[[#This Row],[ ]])</f>
        <v>2026</v>
      </c>
      <c r="E25" s="9">
        <v>426006</v>
      </c>
      <c r="F25" s="9" t="s">
        <v>20</v>
      </c>
      <c r="G25" s="9" t="s">
        <v>21</v>
      </c>
      <c r="H25" s="9" t="s">
        <v>21</v>
      </c>
      <c r="I25" s="10" t="s">
        <v>36</v>
      </c>
      <c r="J25" s="10" t="s">
        <v>36</v>
      </c>
      <c r="K25" s="17">
        <v>4600055880</v>
      </c>
      <c r="L25" s="10" t="s">
        <v>87</v>
      </c>
      <c r="M25" s="12" t="s">
        <v>88</v>
      </c>
      <c r="N25" s="15"/>
      <c r="O25" s="18">
        <v>198.3</v>
      </c>
      <c r="P25" s="9"/>
    </row>
    <row r="26" spans="1:16" x14ac:dyDescent="0.3">
      <c r="A26" s="8"/>
      <c r="B26" s="9"/>
      <c r="C26" s="9"/>
      <c r="D26" s="9"/>
      <c r="E26" s="9"/>
      <c r="F26" s="9"/>
      <c r="G26" s="9"/>
      <c r="H26" s="9"/>
      <c r="I26" s="10"/>
      <c r="J26" s="11"/>
      <c r="K26" s="17"/>
      <c r="L26" s="10"/>
      <c r="M26" s="12"/>
      <c r="N26" s="15"/>
      <c r="O26" s="13"/>
      <c r="P26" s="9"/>
    </row>
  </sheetData>
  <dataValidations count="5">
    <dataValidation type="list" allowBlank="1" showInputMessage="1" showErrorMessage="1" sqref="H27:H1048576 H1:H25" xr:uid="{6313D264-4107-41B8-9F57-A8EE993892A1}">
      <formula1>CASA</formula1>
    </dataValidation>
    <dataValidation type="list" allowBlank="1" showInputMessage="1" showErrorMessage="1" sqref="G27:G1048576 G2:G25" xr:uid="{3C5DA9E2-F13E-446F-85C1-39E170265FAB}">
      <formula1>ASOCIADO</formula1>
    </dataValidation>
    <dataValidation type="list" allowBlank="1" showInputMessage="1" showErrorMessage="1" sqref="F27:F1048576 F2:F25" xr:uid="{C4C025D7-4758-4266-B659-26B7E40E9336}">
      <formula1>VENDEDOR</formula1>
    </dataValidation>
    <dataValidation type="textLength" allowBlank="1" showInputMessage="1" showErrorMessage="1" sqref="E27:E1048576 E2:E25" xr:uid="{6B68AFF7-0AD5-46A7-A0CA-A201114D25A8}">
      <formula1>6</formula1>
      <formula2>6</formula2>
    </dataValidation>
    <dataValidation type="list" allowBlank="1" showInputMessage="1" showErrorMessage="1" sqref="B27:B1048576 B1:B25" xr:uid="{B1912DBB-A436-47FA-82D1-6CC858A34301}">
      <formula1>ZONA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PEDIDOS FOB 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Loaiza Rodriguez</dc:creator>
  <cp:lastModifiedBy>Juan Pablo Loaiza Rodriguez</cp:lastModifiedBy>
  <dcterms:created xsi:type="dcterms:W3CDTF">2026-05-28T21:25:36Z</dcterms:created>
  <dcterms:modified xsi:type="dcterms:W3CDTF">2026-05-28T21:41:49Z</dcterms:modified>
</cp:coreProperties>
</file>